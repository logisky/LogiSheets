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n">
        <v>0.004166666666666667</v>
      </c>
      <c r="D1">
        <f>PMT(B1,B2,B3)</f>
        <v/>
      </c>
      <c r="F1" t="n">
        <v>-1000</v>
      </c>
    </row>
    <row r="2">
      <c r="B2" t="n">
        <v>60</v>
      </c>
      <c r="D2">
        <f>FV(B1,B2,PMT(B1,B2,B3),B3)</f>
        <v/>
      </c>
      <c r="F2" t="n">
        <v>300</v>
      </c>
    </row>
    <row r="3">
      <c r="B3" t="n">
        <v>20000</v>
      </c>
      <c r="D3">
        <f>PV(B1,B2,PMT(B1,B2,B3))</f>
        <v/>
      </c>
      <c r="F3" t="n">
        <v>400</v>
      </c>
    </row>
    <row r="4">
      <c r="D4">
        <f>NPV(0.1,F1:F4)</f>
        <v/>
      </c>
      <c r="F4" t="n">
        <v>500</v>
      </c>
    </row>
    <row r="5">
      <c r="D5">
        <f>F1+NPV(0.1,F2:F4)</f>
        <v/>
      </c>
    </row>
    <row r="6">
      <c r="D6">
        <f>IPMT(B1,1,B2,B3)</f>
        <v/>
      </c>
    </row>
    <row r="7">
      <c r="D7">
        <f>IPMT(B1,1,B2,B3)+PPMT(B1,1,B2,B3)</f>
        <v/>
      </c>
    </row>
    <row r="8">
      <c r="D8">
        <f>NPER(B1,PMT(B1,B2,B3),B3)</f>
        <v/>
      </c>
    </row>
    <row r="9">
      <c r="D9">
        <f>SLN(10000,1000,5)</f>
        <v/>
      </c>
    </row>
    <row r="10">
      <c r="D10">
        <f>SYD(10000,1000,5,1)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