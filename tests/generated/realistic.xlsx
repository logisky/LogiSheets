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</t>
        </is>
      </c>
      <c r="C1" t="inlineStr">
        <is>
          <t>price</t>
        </is>
      </c>
      <c r="D1" t="inlineStr">
        <is>
          <t>cost</t>
        </is>
      </c>
      <c r="E1" t="inlineStr">
        <is>
          <t>region</t>
        </is>
      </c>
      <c r="K1">
        <f>SUMPRODUCT(B2:B6,C2:C6)</f>
        <v/>
      </c>
    </row>
    <row r="2">
      <c r="A2" t="inlineStr">
        <is>
          <t>Widget</t>
        </is>
      </c>
      <c r="B2" t="n">
        <v>120</v>
      </c>
      <c r="C2" t="n">
        <v>9.5</v>
      </c>
      <c r="D2" t="n">
        <v>4.25</v>
      </c>
      <c r="E2" t="inlineStr">
        <is>
          <t>North</t>
        </is>
      </c>
      <c r="F2">
        <f>B2*C2</f>
        <v/>
      </c>
      <c r="G2">
        <f>B2*D2</f>
        <v/>
      </c>
      <c r="H2">
        <f>F2-G2</f>
        <v/>
      </c>
      <c r="I2">
        <f>IF(F2=0,0,H2/F2)</f>
        <v/>
      </c>
      <c r="K2">
        <f>SUMIF(E2:E6,"North",F2:F6)</f>
        <v/>
      </c>
    </row>
    <row r="3">
      <c r="A3" t="inlineStr">
        <is>
          <t>Gadget</t>
        </is>
      </c>
      <c r="B3" t="n">
        <v>80</v>
      </c>
      <c r="C3" t="n">
        <v>24</v>
      </c>
      <c r="D3" t="n">
        <v>11</v>
      </c>
      <c r="E3" t="inlineStr">
        <is>
          <t>South</t>
        </is>
      </c>
      <c r="F3">
        <f>B3*C3</f>
        <v/>
      </c>
      <c r="G3">
        <f>B3*D3</f>
        <v/>
      </c>
      <c r="H3">
        <f>F3-G3</f>
        <v/>
      </c>
      <c r="I3">
        <f>IF(F3=0,0,H3/F3)</f>
        <v/>
      </c>
      <c r="K3">
        <f>SUMIFS(F2:F6,E2:E6,"North")</f>
        <v/>
      </c>
    </row>
    <row r="4">
      <c r="A4" t="inlineStr">
        <is>
          <t>Doohickey</t>
        </is>
      </c>
      <c r="B4" t="n">
        <v>200</v>
      </c>
      <c r="C4" t="n">
        <v>3.75</v>
      </c>
      <c r="D4" t="n">
        <v>1.2</v>
      </c>
      <c r="E4" t="inlineStr">
        <is>
          <t>North</t>
        </is>
      </c>
      <c r="F4">
        <f>B4*C4</f>
        <v/>
      </c>
      <c r="G4">
        <f>B4*D4</f>
        <v/>
      </c>
      <c r="H4">
        <f>F4-G4</f>
        <v/>
      </c>
      <c r="I4">
        <f>IF(F4=0,0,H4/F4)</f>
        <v/>
      </c>
      <c r="K4">
        <f>COUNTIF(E2:E6,"North")</f>
        <v/>
      </c>
    </row>
    <row r="5">
      <c r="A5" t="inlineStr">
        <is>
          <t>Thing</t>
        </is>
      </c>
      <c r="B5" t="n">
        <v>45</v>
      </c>
      <c r="C5" t="n">
        <v>60</v>
      </c>
      <c r="D5" t="n">
        <v>38.5</v>
      </c>
      <c r="E5" t="inlineStr">
        <is>
          <t>East</t>
        </is>
      </c>
      <c r="F5">
        <f>B5*C5</f>
        <v/>
      </c>
      <c r="G5">
        <f>B5*D5</f>
        <v/>
      </c>
      <c r="H5">
        <f>F5-G5</f>
        <v/>
      </c>
      <c r="I5">
        <f>IF(F5=0,0,H5/F5)</f>
        <v/>
      </c>
      <c r="K5">
        <f>MAX(I2:I6)</f>
        <v/>
      </c>
    </row>
    <row r="6">
      <c r="A6" t="inlineStr">
        <is>
          <t>Gizmo</t>
        </is>
      </c>
      <c r="B6" t="n">
        <v>310</v>
      </c>
      <c r="C6" t="n">
        <v>2.1</v>
      </c>
      <c r="D6" t="n">
        <v>0.95</v>
      </c>
      <c r="E6" t="inlineStr">
        <is>
          <t>South</t>
        </is>
      </c>
      <c r="F6">
        <f>B6*C6</f>
        <v/>
      </c>
      <c r="G6">
        <f>B6*D6</f>
        <v/>
      </c>
      <c r="H6">
        <f>F6-G6</f>
        <v/>
      </c>
      <c r="I6">
        <f>IF(F6=0,0,H6/F6)</f>
        <v/>
      </c>
      <c r="K6">
        <f>INDEX(A2:A6,MATCH(MAX(H2:H6),H2:H6,0))</f>
        <v/>
      </c>
    </row>
    <row r="7">
      <c r="K7">
        <f>VLOOKUP("Gizmo",A2:I6,6,FALSE)</f>
        <v/>
      </c>
    </row>
    <row r="8">
      <c r="F8">
        <f>SUM(F2:F6)</f>
        <v/>
      </c>
      <c r="G8">
        <f>SUM(G2:G6)</f>
        <v/>
      </c>
      <c r="H8">
        <f>F8-G8</f>
        <v/>
      </c>
      <c r="I8">
        <f>H8/F8</f>
        <v/>
      </c>
      <c r="K8">
        <f>AVERAGE(I2:I6)</f>
        <v/>
      </c>
    </row>
    <row r="9">
      <c r="K9">
        <f>ROUND(I8*100,1)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2026-09-24T03:01:14Z</dcterms:created>
  <dcterms:modified xsi:type="dcterms:W3CDTF">2026-09-24T03:01:14Z</dcterms:modified>
</cp:coreProperties>
</file>