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n">
        <v>1000</v>
      </c>
    </row>
    <row r="2">
      <c r="A2" t="inlineStr">
        <is>
          <t>growth</t>
        </is>
      </c>
      <c r="B2" t="n">
        <v>0.08</v>
      </c>
    </row>
    <row r="3">
      <c r="A3" t="inlineStr">
        <is>
          <t>margin</t>
        </is>
      </c>
      <c r="B3" t="n">
        <v>0.2</v>
      </c>
    </row>
    <row r="4">
      <c r="A4" t="inlineStr">
        <is>
          <t>tax</t>
        </is>
      </c>
      <c r="B4" t="n">
        <v>0.25</v>
      </c>
    </row>
    <row r="5">
      <c r="A5" t="inlineStr">
        <is>
          <t>wacc</t>
        </is>
      </c>
      <c r="B5" t="n">
        <v>0.1</v>
      </c>
    </row>
    <row r="6">
      <c r="A6" t="inlineStr">
        <is>
          <t>tg</t>
        </is>
      </c>
      <c r="B6" t="n">
        <v>0.025</v>
      </c>
    </row>
    <row r="7">
      <c r="A7" t="inlineStr">
        <is>
          <t>net_debt</t>
        </is>
      </c>
      <c r="B7" t="n">
        <v>500</v>
      </c>
    </row>
    <row r="8">
      <c r="A8" t="inlineStr">
        <is>
          <t>shares</t>
        </is>
      </c>
      <c r="B8" t="n">
        <v>100</v>
      </c>
    </row>
    <row r="9"/>
    <row r="10"/>
    <row r="11">
      <c r="A11" t="n">
        <v>1</v>
      </c>
      <c r="B11">
        <f>$B$1*POWER(1+$B$2,A11)</f>
        <v/>
      </c>
      <c r="C11">
        <f>B11*$B$3*(1-$B$4)</f>
        <v/>
      </c>
      <c r="D11">
        <f>1/POWER(1+$B$5,A11)</f>
        <v/>
      </c>
      <c r="E11">
        <f>C11*D11</f>
        <v/>
      </c>
    </row>
    <row r="12">
      <c r="A12" t="n">
        <v>2</v>
      </c>
      <c r="B12">
        <f>$B$1*POWER(1+$B$2,A12)</f>
        <v/>
      </c>
      <c r="C12">
        <f>B12*$B$3*(1-$B$4)</f>
        <v/>
      </c>
      <c r="D12">
        <f>1/POWER(1+$B$5,A12)</f>
        <v/>
      </c>
      <c r="E12">
        <f>C12*D12</f>
        <v/>
      </c>
    </row>
    <row r="13">
      <c r="A13" t="n">
        <v>3</v>
      </c>
      <c r="B13">
        <f>$B$1*POWER(1+$B$2,A13)</f>
        <v/>
      </c>
      <c r="C13">
        <f>B13*$B$3*(1-$B$4)</f>
        <v/>
      </c>
      <c r="D13">
        <f>1/POWER(1+$B$5,A13)</f>
        <v/>
      </c>
      <c r="E13">
        <f>C13*D13</f>
        <v/>
      </c>
    </row>
    <row r="14">
      <c r="A14" t="n">
        <v>4</v>
      </c>
      <c r="B14">
        <f>$B$1*POWER(1+$B$2,A14)</f>
        <v/>
      </c>
      <c r="C14">
        <f>B14*$B$3*(1-$B$4)</f>
        <v/>
      </c>
      <c r="D14">
        <f>1/POWER(1+$B$5,A14)</f>
        <v/>
      </c>
      <c r="E14">
        <f>C14*D14</f>
        <v/>
      </c>
    </row>
    <row r="15">
      <c r="A15" t="n">
        <v>5</v>
      </c>
      <c r="B15">
        <f>$B$1*POWER(1+$B$2,A15)</f>
        <v/>
      </c>
      <c r="C15">
        <f>B15*$B$3*(1-$B$4)</f>
        <v/>
      </c>
      <c r="D15">
        <f>1/POWER(1+$B$5,A15)</f>
        <v/>
      </c>
      <c r="E15">
        <f>C15*D15</f>
        <v/>
      </c>
    </row>
    <row r="16"/>
    <row r="17">
      <c r="A17" t="inlineStr">
        <is>
          <t>pv_explicit</t>
        </is>
      </c>
      <c r="B17">
        <f>SUM(E11:E15)</f>
        <v/>
      </c>
    </row>
    <row r="18">
      <c r="A18" t="inlineStr">
        <is>
          <t>pv_terminal</t>
        </is>
      </c>
      <c r="B18">
        <f>C15*(1+$B$6)/($B$5-$B$6)*D15</f>
        <v/>
      </c>
    </row>
    <row r="19">
      <c r="A19" t="inlineStr">
        <is>
          <t>enterprise_value</t>
        </is>
      </c>
      <c r="B19">
        <f>B17+B18</f>
        <v/>
      </c>
    </row>
    <row r="20">
      <c r="A20" t="inlineStr">
        <is>
          <t>equity</t>
        </is>
      </c>
      <c r="B20">
        <f>B19-$B$7</f>
        <v/>
      </c>
    </row>
    <row r="21">
      <c r="A21" t="inlineStr">
        <is>
          <t>per_share</t>
        </is>
      </c>
      <c r="B21">
        <f>B20/$B$8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2026-08-22T02:25:30Z</dcterms:created>
  <dcterms:modified xsi:type="dcterms:W3CDTF">2026-08-22T02:25:30Z</dcterms:modified>
</cp:coreProperties>
</file>